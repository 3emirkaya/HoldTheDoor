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sonmez\AppData\Local\Temp\docs25\out\"/>
    </mc:Choice>
  </mc:AlternateContent>
  <xr:revisionPtr revIDLastSave="0" documentId="13_ncr:1_{F063B85D-5233-4D55-9989-4E8DD821F1A1}" xr6:coauthVersionLast="47" xr6:coauthVersionMax="47" xr10:uidLastSave="{00000000-0000-0000-0000-000000000000}"/>
  <bookViews>
    <workbookView xWindow="31060" yWindow="4940" windowWidth="23040" windowHeight="13560" xr2:uid="{00000000-000D-0000-FFFF-FFFF00000000}"/>
  </bookViews>
  <sheets>
    <sheet name="Info" sheetId="1" r:id="rId1"/>
    <sheet name="Plan" sheetId="2" r:id="rId2"/>
    <sheet name="Summary" sheetId="3" r:id="rId3"/>
  </sheets>
  <definedNames>
    <definedName name="_xlnm.Print_Area" localSheetId="1">Plan!$A$1:$Y$35</definedName>
    <definedName name="_xlnm.Print_Titles" localSheetId="1">Plan!$4:$5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3" l="1"/>
  <c r="A9" i="3"/>
  <c r="B8" i="3"/>
  <c r="A8" i="3"/>
  <c r="B7" i="3"/>
  <c r="A7" i="3"/>
  <c r="B6" i="3"/>
  <c r="A6" i="3"/>
  <c r="B5" i="3"/>
  <c r="A5" i="3"/>
  <c r="B4" i="3"/>
  <c r="A4" i="3"/>
  <c r="B35" i="2"/>
  <c r="B34" i="2"/>
  <c r="B33" i="2"/>
  <c r="B32" i="2"/>
  <c r="J27" i="2"/>
  <c r="J26" i="2"/>
  <c r="J25" i="2"/>
  <c r="I24" i="2"/>
  <c r="F9" i="3" s="1"/>
  <c r="H24" i="2"/>
  <c r="E9" i="3" s="1"/>
  <c r="G24" i="2"/>
  <c r="D9" i="3" s="1"/>
  <c r="F24" i="2"/>
  <c r="E24" i="2"/>
  <c r="D24" i="2"/>
  <c r="J23" i="2"/>
  <c r="J22" i="2"/>
  <c r="I21" i="2"/>
  <c r="F8" i="3" s="1"/>
  <c r="H21" i="2"/>
  <c r="E8" i="3" s="1"/>
  <c r="G21" i="2"/>
  <c r="D8" i="3" s="1"/>
  <c r="F21" i="2"/>
  <c r="E21" i="2"/>
  <c r="D21" i="2"/>
  <c r="J20" i="2"/>
  <c r="J19" i="2"/>
  <c r="I18" i="2"/>
  <c r="F7" i="3" s="1"/>
  <c r="H18" i="2"/>
  <c r="E7" i="3" s="1"/>
  <c r="G18" i="2"/>
  <c r="D7" i="3" s="1"/>
  <c r="F18" i="2"/>
  <c r="E18" i="2"/>
  <c r="D18" i="2"/>
  <c r="J17" i="2"/>
  <c r="J16" i="2"/>
  <c r="J15" i="2"/>
  <c r="I14" i="2"/>
  <c r="F6" i="3" s="1"/>
  <c r="H14" i="2"/>
  <c r="E6" i="3" s="1"/>
  <c r="G14" i="2"/>
  <c r="D6" i="3" s="1"/>
  <c r="F14" i="2"/>
  <c r="E14" i="2"/>
  <c r="D14" i="2"/>
  <c r="J13" i="2"/>
  <c r="J12" i="2"/>
  <c r="J11" i="2"/>
  <c r="I10" i="2"/>
  <c r="F5" i="3" s="1"/>
  <c r="H10" i="2"/>
  <c r="E5" i="3" s="1"/>
  <c r="G10" i="2"/>
  <c r="D5" i="3" s="1"/>
  <c r="F10" i="2"/>
  <c r="E10" i="2"/>
  <c r="D10" i="2"/>
  <c r="J9" i="2"/>
  <c r="J8" i="2"/>
  <c r="J7" i="2"/>
  <c r="I6" i="2"/>
  <c r="H6" i="2"/>
  <c r="G6" i="2"/>
  <c r="F6" i="2"/>
  <c r="E6" i="2"/>
  <c r="D6" i="2"/>
  <c r="I5" i="2"/>
  <c r="F3" i="3" s="1"/>
  <c r="H5" i="2"/>
  <c r="E3" i="3" s="1"/>
  <c r="G5" i="2"/>
  <c r="D3" i="3" s="1"/>
  <c r="F5" i="2"/>
  <c r="C3" i="3" s="1"/>
  <c r="A1" i="2"/>
  <c r="J24" i="2" l="1"/>
  <c r="G9" i="3" s="1"/>
  <c r="C9" i="3"/>
  <c r="C8" i="3"/>
  <c r="J21" i="2"/>
  <c r="G8" i="3" s="1"/>
  <c r="J18" i="2"/>
  <c r="G7" i="3" s="1"/>
  <c r="C7" i="3"/>
  <c r="C6" i="3"/>
  <c r="J14" i="2"/>
  <c r="G6" i="3" s="1"/>
  <c r="C5" i="3"/>
  <c r="J10" i="2"/>
  <c r="G5" i="3" s="1"/>
  <c r="I28" i="2"/>
  <c r="F4" i="3"/>
  <c r="F10" i="3" s="1"/>
  <c r="H28" i="2"/>
  <c r="E4" i="3"/>
  <c r="E10" i="3" s="1"/>
  <c r="D4" i="3"/>
  <c r="D10" i="3" s="1"/>
  <c r="G28" i="2"/>
  <c r="F28" i="2"/>
  <c r="J28" i="2" s="1"/>
  <c r="C4" i="3"/>
  <c r="J6" i="2"/>
  <c r="G29" i="2" l="1"/>
  <c r="H29" i="2"/>
  <c r="I29" i="2"/>
  <c r="F29" i="2"/>
  <c r="K6" i="2"/>
  <c r="G4" i="3"/>
  <c r="G10" i="3" s="1"/>
  <c r="C10" i="3"/>
  <c r="H4" i="3" l="1"/>
  <c r="K10" i="2"/>
  <c r="K14" i="2" l="1"/>
  <c r="H5" i="3"/>
  <c r="H6" i="3" l="1"/>
  <c r="K18" i="2"/>
  <c r="H7" i="3" l="1"/>
  <c r="K21" i="2"/>
  <c r="K24" i="2" l="1"/>
  <c r="H9" i="3" s="1"/>
  <c r="H8" i="3"/>
</calcChain>
</file>

<file path=xl/sharedStrings.xml><?xml version="1.0" encoding="utf-8"?>
<sst xmlns="http://schemas.openxmlformats.org/spreadsheetml/2006/main" count="113" uniqueCount="113">
  <si>
    <t>YAM415 Game Programming – Project Plan Template</t>
  </si>
  <si>
    <t>Version 2026.1 · Fill in the white cells; grey cells are calculated by formulas.</t>
  </si>
  <si>
    <t>Group Code</t>
  </si>
  <si>
    <t>e.g. G07 (from the group list on OYS)</t>
  </si>
  <si>
    <t>Group Name</t>
  </si>
  <si>
    <t>Name of the Game</t>
  </si>
  <si>
    <t>Date Prepared</t>
  </si>
  <si>
    <t>DD.MM.YYYY</t>
  </si>
  <si>
    <t>Plan Version</t>
  </si>
  <si>
    <t>e.g. 1.0</t>
  </si>
  <si>
    <t>No</t>
  </si>
  <si>
    <t>Name Surname</t>
  </si>
  <si>
    <t>Student ID</t>
  </si>
  <si>
    <t>Role(s)</t>
  </si>
  <si>
    <t>Signature</t>
  </si>
  <si>
    <t>How to fill in</t>
  </si>
  <si>
    <t>1.</t>
  </si>
  <si>
    <t>Write the group details and members on this sheet; member names are copied to the column headings on the Plan and Summary sheets automatically.</t>
  </si>
  <si>
    <t>2.</t>
  </si>
  <si>
    <t>Adapt the tasks on the Plan sheet to your game. To add a task, insert the row above the last task of the work package so that the subtotal formulas include the new row.</t>
  </si>
  <si>
    <t>3.</t>
  </si>
  <si>
    <t>For each task, write the responsible members, the start and end week (1–14) and each member’s effort in person-months. The Gantt bars are drawn from the weeks automatically.</t>
  </si>
  <si>
    <t>4.</t>
  </si>
  <si>
    <t>The plan is submitted in week 8 (midterm). Enter the work done so far (project proposal, concept document) with the weeks in which it was done, and plan the remaining work, including the final report, in weeks 8–14. In the Gantt chart, weeks 1–7 are blue (past weeks) and week 8 is yellow (plan submission).</t>
  </si>
  <si>
    <t>5.</t>
  </si>
  <si>
    <t>1 person-month ≈ 160 hours (4 weeks × 40 hours). For example, write 0.125 person-months for a task on which a member works 20 hours.</t>
  </si>
  <si>
    <t>6.</t>
  </si>
  <si>
    <t>Work package subtotals, the cumulative total, the project total and the member shares are calculated automatically; do not edit the grey cells. If the end week is before the start week, the cell turns red.</t>
  </si>
  <si>
    <t>7.</t>
  </si>
  <si>
    <t>Save the whole workbook as PDF (File &gt; Export &gt; Create PDF/XPS Document &gt; Options &gt; Entire workbook) and name it like YAM415_G07_ProjectPlan.pdf.</t>
  </si>
  <si>
    <t>8.</t>
  </si>
  <si>
    <t>All group members sign the printout.</t>
  </si>
  <si>
    <t>Effort in person-months (1 person-month ≈ 160 hours) · Weeks 1–14: 1–7 blue (past weeks), 8 yellow (plan submission) · Grey cells are calculated.</t>
  </si>
  <si>
    <t>WP No</t>
  </si>
  <si>
    <t>Work Package / Task</t>
  </si>
  <si>
    <t>Responsible</t>
  </si>
  <si>
    <t>Week</t>
  </si>
  <si>
    <t>Effort (person-months)</t>
  </si>
  <si>
    <t>Total
(person-months)</t>
  </si>
  <si>
    <t>Cumulative
(person-months)</t>
  </si>
  <si>
    <t>Weeks</t>
  </si>
  <si>
    <t>Start</t>
  </si>
  <si>
    <t>End</t>
  </si>
  <si>
    <t>WP1</t>
  </si>
  <si>
    <t>Project Management and Planning</t>
  </si>
  <si>
    <t>1.1</t>
  </si>
  <si>
    <t>Project proposal and concept document</t>
  </si>
  <si>
    <t>1.2</t>
  </si>
  <si>
    <t>Project plan and task assignment</t>
  </si>
  <si>
    <t>1.3</t>
  </si>
  <si>
    <t>Weekly progress meetings and version control</t>
  </si>
  <si>
    <t>WP2</t>
  </si>
  <si>
    <t>Game Design</t>
  </si>
  <si>
    <t>2.1</t>
  </si>
  <si>
    <t>Game mechanics and rules</t>
  </si>
  <si>
    <t>2.2</t>
  </si>
  <si>
    <t>Level design</t>
  </si>
  <si>
    <t>2.3</t>
  </si>
  <si>
    <t>UI and information screens (HUD) design</t>
  </si>
  <si>
    <t>WP3</t>
  </si>
  <si>
    <t>Programming</t>
  </si>
  <si>
    <t>3.1</t>
  </si>
  <si>
    <t>Player control and camera</t>
  </si>
  <si>
    <t>3.2</t>
  </si>
  <si>
    <t>Game logic, enemies and AI</t>
  </si>
  <si>
    <t>3.3</t>
  </si>
  <si>
    <t>Menu system, saving and settings</t>
  </si>
  <si>
    <t>WP4</t>
  </si>
  <si>
    <t>Visual and Audio Content</t>
  </si>
  <si>
    <t>4.1</t>
  </si>
  <si>
    <t>Models, textures and animations</t>
  </si>
  <si>
    <t>4.2</t>
  </si>
  <si>
    <t>Sound effects and music</t>
  </si>
  <si>
    <t>WP5</t>
  </si>
  <si>
    <t>Testing and Build</t>
  </si>
  <si>
    <t>5.1</t>
  </si>
  <si>
    <t>Playtesting and bug fixing</t>
  </si>
  <si>
    <t>5.2</t>
  </si>
  <si>
    <t>Windows (or Android) build</t>
  </si>
  <si>
    <t>WP6</t>
  </si>
  <si>
    <t>Documentation and Promotion</t>
  </si>
  <si>
    <t>6.1</t>
  </si>
  <si>
    <t>Game document (final report)</t>
  </si>
  <si>
    <t>6.2</t>
  </si>
  <si>
    <t>Presentation and gameplay video</t>
  </si>
  <si>
    <t>6.3</t>
  </si>
  <si>
    <t>Promotional products (cover, poster, website, trailer)</t>
  </si>
  <si>
    <t>Project Total</t>
  </si>
  <si>
    <t>Member Share</t>
  </si>
  <si>
    <t>Signatures of the group members</t>
  </si>
  <si>
    <t>Effort by work package (person-months)</t>
  </si>
  <si>
    <t>Work Package</t>
  </si>
  <si>
    <t>Total</t>
  </si>
  <si>
    <t>Cumulative</t>
  </si>
  <si>
    <t>G01</t>
  </si>
  <si>
    <t>Aggro Games</t>
  </si>
  <si>
    <t>Hold the Door</t>
  </si>
  <si>
    <t>27.10.2026</t>
  </si>
  <si>
    <t>1.0</t>
  </si>
  <si>
    <t>Emir KAYA</t>
  </si>
  <si>
    <t>030722013</t>
  </si>
  <si>
    <t>Lead Programmer</t>
  </si>
  <si>
    <t>Ömer Faruk YÜCE</t>
  </si>
  <si>
    <t>030722017</t>
  </si>
  <si>
    <t>Lead Game Designer</t>
  </si>
  <si>
    <t>Metehan GERGİN</t>
  </si>
  <si>
    <t>0307221017</t>
  </si>
  <si>
    <t>Level &amp; Audio Designer</t>
  </si>
  <si>
    <t>EK, OFY, MG</t>
  </si>
  <si>
    <t>OFY</t>
  </si>
  <si>
    <t>MG</t>
  </si>
  <si>
    <t>EK</t>
  </si>
  <si>
    <t>EK, OFY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</si>
</sst>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quot;–&quot;"/>
  </numFmts>
  <fonts count="13" x14ac:knownFonts="1">
    <font>
      <sz val="11"/>
      <color theme="1"/>
      <name val="Calibri"/>
      <family val="2"/>
      <scheme val="minor"/>
    </font>
    <font>
      <b/>
      <sz val="14"/>
      <color rgb="FF9D2235"/>
      <name val="Calibri"/>
    </font>
    <font>
      <i/>
      <sz val="9"/>
      <color rgb="FF595959"/>
      <name val="Calibri"/>
    </font>
    <font>
      <b/>
      <sz val="10"/>
      <color rgb="FF000000"/>
      <name val="Calibri"/>
    </font>
    <font>
      <i/>
      <sz val="9"/>
      <color rgb="FF7F7F7F"/>
      <name val="Calibri"/>
    </font>
    <font>
      <b/>
      <sz val="10"/>
      <color rgb="FFFFFFFF"/>
      <name val="Calibri"/>
    </font>
    <font>
      <sz val="10"/>
      <color rgb="FF000000"/>
      <name val="Calibri"/>
    </font>
    <font>
      <b/>
      <sz val="11"/>
      <color rgb="FF9D2235"/>
      <name val="Calibri"/>
    </font>
    <font>
      <sz val="9.5"/>
      <color rgb="FF000000"/>
      <name val="Calibri"/>
    </font>
    <font>
      <b/>
      <sz val="13"/>
      <color rgb="FF9D2235"/>
      <name val="Calibri"/>
    </font>
    <font>
      <b/>
      <sz val="9"/>
      <color rgb="FFFFFFFF"/>
      <name val="Calibri"/>
    </font>
    <font>
      <b/>
      <sz val="9"/>
      <color rgb="FF000000"/>
      <name val="Calibri"/>
    </font>
    <font>
      <b/>
      <sz val="10"/>
      <color rgb="FF9D2235"/>
      <name val="Calibri"/>
    </font>
  </fonts>
  <fills count="10">
    <fill>
      <patternFill patternType="none"/>
    </fill>
    <fill>
      <patternFill patternType="gray125"/>
    </fill>
    <fill>
      <patternFill patternType="solid">
        <fgColor rgb="FFF2DCE0"/>
        <bgColor rgb="FFF2DCE0"/>
      </patternFill>
    </fill>
    <fill>
      <patternFill patternType="solid">
        <fgColor rgb="FF9D2235"/>
        <bgColor rgb="FF9D2235"/>
      </patternFill>
    </fill>
    <fill>
      <patternFill patternType="solid">
        <fgColor rgb="FF8EA9DB"/>
        <bgColor rgb="FF8EA9DB"/>
      </patternFill>
    </fill>
    <fill>
      <patternFill patternType="solid">
        <fgColor rgb="FFFFC000"/>
        <bgColor rgb="FFFFC000"/>
      </patternFill>
    </fill>
    <fill>
      <patternFill patternType="solid">
        <fgColor rgb="FFEDEDED"/>
        <bgColor rgb="FFEDEDED"/>
      </patternFill>
    </fill>
    <fill>
      <patternFill patternType="solid">
        <fgColor rgb="FFD9D9D9"/>
        <bgColor rgb="FFD9D9D9"/>
      </patternFill>
    </fill>
    <fill>
      <patternFill patternType="solid">
        <fgColor rgb="FFDCE6F1"/>
        <bgColor rgb="FFDCE6F1"/>
      </patternFill>
    </fill>
    <fill>
      <patternFill patternType="solid">
        <fgColor rgb="FFFFF2CC"/>
        <bgColor rgb="FFFFF2CC"/>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style="thin">
        <color rgb="FF595959"/>
      </bottom>
      <diagonal/>
    </border>
  </borders>
  <cellStyleXfs count="1">
    <xf numFmtId="0" fontId="0" fillId="0" borderId="0"/>
  </cellStyleXfs>
  <cellXfs count="39">
    <xf numFmtId="0" fontId="0" fillId="0" borderId="0" xfId="0"/>
    <xf numFmtId="0" fontId="1" fillId="0" borderId="0" xfId="0" applyFont="1"/>
    <xf numFmtId="0" fontId="2" fillId="0" borderId="0" xfId="0" applyFont="1"/>
    <xf numFmtId="0" fontId="3" fillId="2" borderId="1" xfId="0" applyFont="1" applyFill="1" applyBorder="1"/>
    <xf numFmtId="0" fontId="4" fillId="0" borderId="0" xfId="0" applyFont="1"/>
    <xf numFmtId="0" fontId="5" fillId="3" borderId="1" xfId="0" applyFont="1" applyFill="1" applyBorder="1" applyAlignment="1">
      <alignment vertical="center"/>
    </xf>
    <xf numFmtId="0" fontId="6" fillId="0" borderId="1" xfId="0" applyFont="1" applyBorder="1" applyAlignment="1">
      <alignment horizontal="center" vertical="center"/>
    </xf>
    <xf numFmtId="0" fontId="6" fillId="0" borderId="1" xfId="0" applyFont="1" applyBorder="1" applyAlignment="1">
      <alignment vertical="center"/>
    </xf>
    <xf numFmtId="0" fontId="7" fillId="0" borderId="0" xfId="0" applyFont="1"/>
    <xf numFmtId="0" fontId="8" fillId="0" borderId="0" xfId="0" applyFont="1" applyAlignment="1">
      <alignment horizontal="right" vertical="top"/>
    </xf>
    <xf numFmtId="0" fontId="9" fillId="0" borderId="0" xfId="0" applyFont="1"/>
    <xf numFmtId="0" fontId="10" fillId="3"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1" xfId="0" applyFont="1" applyFill="1" applyBorder="1" applyAlignment="1">
      <alignment vertical="center" wrapText="1"/>
    </xf>
    <xf numFmtId="164" fontId="3" fillId="2" borderId="1" xfId="0" applyNumberFormat="1" applyFont="1" applyFill="1" applyBorder="1" applyAlignment="1">
      <alignment horizontal="center" vertical="center"/>
    </xf>
    <xf numFmtId="0" fontId="0" fillId="8" borderId="1" xfId="0" applyFill="1" applyBorder="1" applyAlignment="1">
      <alignment horizontal="center" vertical="center"/>
    </xf>
    <xf numFmtId="0" fontId="0" fillId="9" borderId="1" xfId="0" applyFill="1" applyBorder="1" applyAlignment="1">
      <alignment horizontal="center" vertical="center"/>
    </xf>
    <xf numFmtId="0" fontId="0" fillId="0" borderId="1" xfId="0" applyBorder="1" applyAlignment="1">
      <alignment horizontal="center" vertical="center"/>
    </xf>
    <xf numFmtId="0" fontId="6" fillId="0" borderId="1" xfId="0" applyFont="1" applyBorder="1" applyAlignment="1">
      <alignment vertical="center" wrapText="1"/>
    </xf>
    <xf numFmtId="164" fontId="6" fillId="0" borderId="1" xfId="0" applyNumberFormat="1" applyFont="1" applyBorder="1" applyAlignment="1">
      <alignment horizontal="center" vertical="center"/>
    </xf>
    <xf numFmtId="164" fontId="6" fillId="6" borderId="1" xfId="0" applyNumberFormat="1" applyFont="1" applyFill="1" applyBorder="1" applyAlignment="1">
      <alignment horizontal="center" vertical="center"/>
    </xf>
    <xf numFmtId="0" fontId="3" fillId="7" borderId="1" xfId="0" applyFont="1" applyFill="1" applyBorder="1" applyAlignment="1">
      <alignment horizontal="center" vertical="center"/>
    </xf>
    <xf numFmtId="0" fontId="3" fillId="7" borderId="1" xfId="0" applyFont="1" applyFill="1" applyBorder="1" applyAlignment="1">
      <alignment vertical="center" wrapText="1"/>
    </xf>
    <xf numFmtId="164" fontId="3" fillId="7" borderId="1" xfId="0" applyNumberFormat="1" applyFont="1" applyFill="1" applyBorder="1" applyAlignment="1">
      <alignment horizontal="center" vertical="center"/>
    </xf>
    <xf numFmtId="9" fontId="3" fillId="7" borderId="1" xfId="0" applyNumberFormat="1" applyFont="1" applyFill="1" applyBorder="1" applyAlignment="1">
      <alignment horizontal="center" vertical="center"/>
    </xf>
    <xf numFmtId="0" fontId="12" fillId="0" borderId="0" xfId="0" applyFont="1"/>
    <xf numFmtId="0" fontId="6" fillId="0" borderId="0" xfId="0" applyFont="1"/>
    <xf numFmtId="0" fontId="5" fillId="3" borderId="1" xfId="0" applyFont="1" applyFill="1" applyBorder="1" applyAlignment="1">
      <alignment horizontal="center" vertical="center" wrapText="1"/>
    </xf>
    <xf numFmtId="0" fontId="6" fillId="0" borderId="1" xfId="0" applyFont="1" applyBorder="1"/>
    <xf numFmtId="164" fontId="6" fillId="0" borderId="1" xfId="0" applyNumberFormat="1" applyFont="1" applyBorder="1" applyAlignment="1">
      <alignment horizontal="center"/>
    </xf>
    <xf numFmtId="0" fontId="3" fillId="7" borderId="1" xfId="0" applyFont="1" applyFill="1" applyBorder="1"/>
    <xf numFmtId="164" fontId="3" fillId="7" borderId="1" xfId="0" applyNumberFormat="1" applyFont="1" applyFill="1" applyBorder="1" applyAlignment="1">
      <alignment horizontal="center"/>
    </xf>
    <xf numFmtId="0" fontId="0" fillId="0" borderId="1" xfId="0" applyBorder="1"/>
    <xf numFmtId="0" fontId="8" fillId="0" borderId="0" xfId="0" applyFont="1" applyAlignment="1">
      <alignment vertical="top" wrapText="1"/>
    </xf>
    <xf numFmtId="0" fontId="0" fillId="0" borderId="0" xfId="0"/>
    <xf numFmtId="0" fontId="10" fillId="3" borderId="1" xfId="0" applyFont="1" applyFill="1" applyBorder="1" applyAlignment="1">
      <alignment horizontal="center" vertical="center" wrapText="1"/>
    </xf>
    <xf numFmtId="0" fontId="0" fillId="0" borderId="2" xfId="0" applyBorder="1"/>
  </cellXfs>
  <cellStyles count="1">
    <cellStyle name="Normal" xfId="0" builtinId="0"/>
  </cellStyles>
  <dxfs count="3">
    <dxf>
      <fill>
        <patternFill patternType="solid">
          <fgColor rgb="FFE6A7B2"/>
          <bgColor rgb="FFE6A7B2"/>
        </patternFill>
      </fill>
    </dxf>
    <dxf>
      <fill>
        <patternFill patternType="solid">
          <fgColor rgb="FF9D2235"/>
          <bgColor rgb="FF9D2235"/>
        </patternFill>
      </fill>
    </dxf>
    <dxf>
      <font>
        <b/>
        <color rgb="FF9C0006"/>
      </font>
      <fill>
        <patternFill patternType="solid">
          <fgColor rgb="FFFF9999"/>
          <bgColor rgb="FFFF999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1"/>
  <c:style val="2"/>
  <c:chart>
    <c:title>
      <c:tx>
        <c:rich>
          <a:bodyPr/>
          <a:lstStyle/>
          <a:p>
            <a:pPr>
              <a:defRPr/>
            </a:pPr>
            <a:r>
              <a:t>Effort by work package (person-months)</a:t>
            </a:r>
          </a:p>
        </c:rich>
      </c:tx>
      <c:overlay val="1"/>
    </c:title>
    <c:autoTitleDeleted val="0"/>
    <c:plotArea>
      <c:layout/>
      <c:barChart>
        <c:barDir val="col"/>
        <c:grouping val="stacked"/>
        <c:varyColors val="1"/>
        <c:ser>
          <c:idx val="0"/>
          <c:order val="0"/>
          <c:tx>
            <c:strRef>
              <c:f>Summary!$C$3</c:f>
              <c:strCache>
                <c:ptCount val="1"/>
                <c:pt idx="0">
                  <c:v>Member 1</c:v>
                </c:pt>
              </c:strCache>
            </c:strRef>
          </c:tx>
          <c:spPr>
            <a:solidFill>
              <a:srgbClr val="9D2235"/>
            </a:solidFill>
            <a:ln>
              <a:solidFill>
                <a:srgbClr val="9D2235"/>
              </a:solidFill>
              <a:prstDash val="solid"/>
            </a:ln>
          </c:spPr>
          <c:invertIfNegative val="1"/>
          <c:cat>
            <c:strRef>
              <c:f>Summary!$A$4:$A$9</c:f>
              <c:strCache>
                <c:ptCount val="6"/>
                <c:pt idx="0">
                  <c:v>WP1</c:v>
                </c:pt>
                <c:pt idx="1">
                  <c:v>WP2</c:v>
                </c:pt>
                <c:pt idx="2">
                  <c:v>WP3</c:v>
                </c:pt>
                <c:pt idx="3">
                  <c:v>WP4</c:v>
                </c:pt>
                <c:pt idx="4">
                  <c:v>WP5</c:v>
                </c:pt>
                <c:pt idx="5">
                  <c:v>WP6</c:v>
                </c:pt>
              </c:strCache>
            </c:strRef>
          </c:cat>
          <c:val>
            <c:numRef>
              <c:f>Summary!$C$4:$C$9</c:f>
              <c:numCache>
                <c:formatCode>0.00;\-0.00;"–"</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D2235"/>
                    </a:solidFill>
                    <a:prstDash val="solid"/>
                  </a:ln>
                </c14:spPr>
              </c14:invertSolidFillFmt>
            </c:ext>
            <c:ext xmlns:c16="http://schemas.microsoft.com/office/drawing/2014/chart" uri="{C3380CC4-5D6E-409C-BE32-E72D297353CC}">
              <c16:uniqueId val="{00000000-62BA-43D2-BC78-A20C586B5ABC}"/>
            </c:ext>
          </c:extLst>
        </c:ser>
        <c:ser>
          <c:idx val="1"/>
          <c:order val="1"/>
          <c:tx>
            <c:strRef>
              <c:f>Summary!$D$3</c:f>
              <c:strCache>
                <c:ptCount val="1"/>
                <c:pt idx="0">
                  <c:v>Member 2</c:v>
                </c:pt>
              </c:strCache>
            </c:strRef>
          </c:tx>
          <c:spPr>
            <a:solidFill>
              <a:srgbClr val="D46A7E"/>
            </a:solidFill>
            <a:ln>
              <a:solidFill>
                <a:srgbClr val="D46A7E"/>
              </a:solidFill>
              <a:prstDash val="solid"/>
            </a:ln>
          </c:spPr>
          <c:invertIfNegative val="1"/>
          <c:cat>
            <c:strRef>
              <c:f>Summary!$A$4:$A$9</c:f>
              <c:strCache>
                <c:ptCount val="6"/>
                <c:pt idx="0">
                  <c:v>WP1</c:v>
                </c:pt>
                <c:pt idx="1">
                  <c:v>WP2</c:v>
                </c:pt>
                <c:pt idx="2">
                  <c:v>WP3</c:v>
                </c:pt>
                <c:pt idx="3">
                  <c:v>WP4</c:v>
                </c:pt>
                <c:pt idx="4">
                  <c:v>WP5</c:v>
                </c:pt>
                <c:pt idx="5">
                  <c:v>WP6</c:v>
                </c:pt>
              </c:strCache>
            </c:strRef>
          </c:cat>
          <c:val>
            <c:numRef>
              <c:f>Summary!$D$4:$D$9</c:f>
              <c:numCache>
                <c:formatCode>0.00;\-0.00;"–"</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D46A7E"/>
                    </a:solidFill>
                    <a:prstDash val="solid"/>
                  </a:ln>
                </c14:spPr>
              </c14:invertSolidFillFmt>
            </c:ext>
            <c:ext xmlns:c16="http://schemas.microsoft.com/office/drawing/2014/chart" uri="{C3380CC4-5D6E-409C-BE32-E72D297353CC}">
              <c16:uniqueId val="{00000001-62BA-43D2-BC78-A20C586B5ABC}"/>
            </c:ext>
          </c:extLst>
        </c:ser>
        <c:ser>
          <c:idx val="2"/>
          <c:order val="2"/>
          <c:tx>
            <c:strRef>
              <c:f>Summary!$E$3</c:f>
              <c:strCache>
                <c:ptCount val="1"/>
                <c:pt idx="0">
                  <c:v>Member 3</c:v>
                </c:pt>
              </c:strCache>
            </c:strRef>
          </c:tx>
          <c:spPr>
            <a:solidFill>
              <a:srgbClr val="595959"/>
            </a:solidFill>
            <a:ln>
              <a:solidFill>
                <a:srgbClr val="595959"/>
              </a:solidFill>
              <a:prstDash val="solid"/>
            </a:ln>
          </c:spPr>
          <c:invertIfNegative val="1"/>
          <c:cat>
            <c:strRef>
              <c:f>Summary!$A$4:$A$9</c:f>
              <c:strCache>
                <c:ptCount val="6"/>
                <c:pt idx="0">
                  <c:v>WP1</c:v>
                </c:pt>
                <c:pt idx="1">
                  <c:v>WP2</c:v>
                </c:pt>
                <c:pt idx="2">
                  <c:v>WP3</c:v>
                </c:pt>
                <c:pt idx="3">
                  <c:v>WP4</c:v>
                </c:pt>
                <c:pt idx="4">
                  <c:v>WP5</c:v>
                </c:pt>
                <c:pt idx="5">
                  <c:v>WP6</c:v>
                </c:pt>
              </c:strCache>
            </c:strRef>
          </c:cat>
          <c:val>
            <c:numRef>
              <c:f>Summary!$E$4:$E$9</c:f>
              <c:numCache>
                <c:formatCode>0.00;\-0.00;"–"</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595959"/>
                    </a:solidFill>
                    <a:prstDash val="solid"/>
                  </a:ln>
                </c14:spPr>
              </c14:invertSolidFillFmt>
            </c:ext>
            <c:ext xmlns:c16="http://schemas.microsoft.com/office/drawing/2014/chart" uri="{C3380CC4-5D6E-409C-BE32-E72D297353CC}">
              <c16:uniqueId val="{00000002-62BA-43D2-BC78-A20C586B5ABC}"/>
            </c:ext>
          </c:extLst>
        </c:ser>
        <c:ser>
          <c:idx val="3"/>
          <c:order val="3"/>
          <c:tx>
            <c:strRef>
              <c:f>Summary!$F$3</c:f>
              <c:strCache>
                <c:ptCount val="1"/>
                <c:pt idx="0">
                  <c:v>Member 4</c:v>
                </c:pt>
              </c:strCache>
            </c:strRef>
          </c:tx>
          <c:spPr>
            <a:solidFill>
              <a:srgbClr val="A6A6A6"/>
            </a:solidFill>
            <a:ln>
              <a:solidFill>
                <a:srgbClr val="A6A6A6"/>
              </a:solidFill>
              <a:prstDash val="solid"/>
            </a:ln>
          </c:spPr>
          <c:invertIfNegative val="1"/>
          <c:cat>
            <c:strRef>
              <c:f>Summary!$A$4:$A$9</c:f>
              <c:strCache>
                <c:ptCount val="6"/>
                <c:pt idx="0">
                  <c:v>WP1</c:v>
                </c:pt>
                <c:pt idx="1">
                  <c:v>WP2</c:v>
                </c:pt>
                <c:pt idx="2">
                  <c:v>WP3</c:v>
                </c:pt>
                <c:pt idx="3">
                  <c:v>WP4</c:v>
                </c:pt>
                <c:pt idx="4">
                  <c:v>WP5</c:v>
                </c:pt>
                <c:pt idx="5">
                  <c:v>WP6</c:v>
                </c:pt>
              </c:strCache>
            </c:strRef>
          </c:cat>
          <c:val>
            <c:numRef>
              <c:f>Summary!$F$4:$F$9</c:f>
              <c:numCache>
                <c:formatCode>0.00;\-0.00;"–"</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A6A6A6"/>
                    </a:solidFill>
                    <a:prstDash val="solid"/>
                  </a:ln>
                </c14:spPr>
              </c14:invertSolidFillFmt>
            </c:ext>
            <c:ext xmlns:c16="http://schemas.microsoft.com/office/drawing/2014/chart" uri="{C3380CC4-5D6E-409C-BE32-E72D297353CC}">
              <c16:uniqueId val="{00000003-62BA-43D2-BC78-A20C586B5ABC}"/>
            </c:ext>
          </c:extLst>
        </c:ser>
        <c:dLbls>
          <c:showLegendKey val="0"/>
          <c:showVal val="0"/>
          <c:showCatName val="0"/>
          <c:showSerName val="0"/>
          <c:showPercent val="0"/>
          <c:showBubbleSize val="0"/>
        </c:dLbls>
        <c:gapWidth val="150"/>
        <c:overlap val="10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numFmt formatCode="0.0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11</xdr:row>
      <xdr:rowOff>0</xdr:rowOff>
    </xdr:from>
    <xdr:ext cx="6120000" cy="342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00000000-0001-0000-0000-000000000000}">
  <sheetPr>
    <pageSetUpPr fitToPage="1"/>
  </sheetPr>
  <dimension ref="A1:E24"/>
  <sheetViews>
    <sheetView showGridLines="0" tabSelected="1" workbookViewId="0"/>
  </sheetViews>
  <sheetFormatPr defaultRowHeight="14.4" ns3:dyDescent="0.3"/>
  <cols>
    <col min="1" max="1" width="20" customWidth="1"/>
    <col min="2" max="2" width="30" customWidth="1"/>
    <col min="3" max="3" width="16" customWidth="1"/>
    <col min="4" max="4" width="26" customWidth="1"/>
    <col min="5" max="5" width="22" customWidth="1"/>
    <col min="6" max="6" width="4" customWidth="1"/>
  </cols>
  <sheetData>
    <row r="1" spans="1:5" ht="18" ns3:dyDescent="0.35">
      <c r="A1" s="1" t="s">
        <v>0</v>
      </c>
    </row>
    <row r="2" spans="1:5" ns3:dyDescent="0.3">
      <c r="A2" s="2" t="s">
        <v>1</v>
      </c>
    </row>
    <row r="4" spans="1:5" ht="18" customHeight="1" ns3:dyDescent="0.3">
      <c r="A4" s="3" t="s">
        <v>2</v>
      </c>
      <c r="B4" s="34" t="s">
        <v>94</v>
      </c>
      <c r="C4" s="34"/>
      <c r="D4" s="4" t="s">
        <v>3</v>
      </c>
    </row>
    <row r="5" spans="1:5" ht="18" customHeight="1" ns3:dyDescent="0.3">
      <c r="A5" s="3" t="s">
        <v>4</v>
      </c>
      <c r="B5" s="34" t="s">
        <v>95</v>
      </c>
      <c r="C5" s="34"/>
      <c r="D5" s="4"/>
    </row>
    <row r="6" spans="1:5" ht="18" customHeight="1" ns3:dyDescent="0.3">
      <c r="A6" s="3" t="s">
        <v>5</v>
      </c>
      <c r="B6" s="34" t="s">
        <v>96</v>
      </c>
      <c r="C6" s="34"/>
      <c r="D6" s="4"/>
    </row>
    <row r="7" spans="1:5" ht="18" customHeight="1" ns3:dyDescent="0.3">
      <c r="A7" s="3" t="s">
        <v>6</v>
      </c>
      <c r="B7" s="34" t="s">
        <v>97</v>
      </c>
      <c r="C7" s="34"/>
      <c r="D7" s="4" t="s">
        <v>7</v>
      </c>
    </row>
    <row r="8" spans="1:5" ht="18" customHeight="1" ns3:dyDescent="0.3">
      <c r="A8" s="3" t="s">
        <v>8</v>
      </c>
      <c r="B8" s="34" t="s">
        <v>98</v>
      </c>
      <c r="C8" s="34"/>
      <c r="D8" s="4" t="s">
        <v>9</v>
      </c>
    </row>
    <row r="10" spans="1:5" ns3:dyDescent="0.3">
      <c r="A10" s="5" t="s">
        <v>10</v>
      </c>
      <c r="B10" s="5" t="s">
        <v>11</v>
      </c>
      <c r="C10" s="5" t="s">
        <v>12</v>
      </c>
      <c r="D10" s="5" t="s">
        <v>13</v>
      </c>
      <c r="E10" s="5" t="s">
        <v>14</v>
      </c>
    </row>
    <row r="11" spans="1:5" ht="25.95" customHeight="1" ns3:dyDescent="0.3">
      <c r="A11" s="6">
        <v>1</v>
      </c>
      <c r="B11" s="7" t="s">
        <v>99</v>
      </c>
      <c r="C11" s="7" t="s">
        <v>100</v>
      </c>
      <c r="D11" s="7" t="s">
        <v>101</v>
      </c>
      <c r="E11" s="7"/>
    </row>
    <row r="12" spans="1:5" ht="25.95" customHeight="1" ns3:dyDescent="0.3">
      <c r="A12" s="6">
        <v>2</v>
      </c>
      <c r="B12" s="7" t="s">
        <v>102</v>
      </c>
      <c r="C12" s="7" t="s">
        <v>103</v>
      </c>
      <c r="D12" s="7" t="s">
        <v>104</v>
      </c>
      <c r="E12" s="7"/>
    </row>
    <row r="13" spans="1:5" ht="25.95" customHeight="1" ns3:dyDescent="0.3">
      <c r="A13" s="6">
        <v>3</v>
      </c>
      <c r="B13" s="7" t="s">
        <v>105</v>
      </c>
      <c r="C13" s="7" t="s">
        <v>106</v>
      </c>
      <c r="D13" s="7" t="s">
        <v>107</v>
      </c>
      <c r="E13" s="7"/>
    </row>
    <row r="14" spans="1:5" ht="25.95" customHeight="1" ns3:dyDescent="0.3">
      <c r="A14" s="6">
        <v>4</v>
      </c>
      <c r="B14" s="7"/>
      <c r="C14" s="7"/>
      <c r="D14" s="7"/>
      <c r="E14" s="7"/>
    </row>
    <row r="16" spans="1:5" ns3:dyDescent="0.3">
      <c r="A16" s="8" t="s">
        <v>15</v>
      </c>
    </row>
    <row r="17" spans="1:5" ht="27" customHeight="1" ns3:dyDescent="0.3">
      <c r="A17" s="9" t="s">
        <v>16</v>
      </c>
      <c r="B17" s="35" t="s">
        <v>17</v>
      </c>
      <c r="C17" s="36"/>
      <c r="D17" s="36"/>
      <c r="E17" s="36"/>
    </row>
    <row r="18" spans="1:5" ht="27" customHeight="1" ns3:dyDescent="0.3">
      <c r="A18" s="9" t="s">
        <v>18</v>
      </c>
      <c r="B18" s="35" t="s">
        <v>19</v>
      </c>
      <c r="C18" s="36"/>
      <c r="D18" s="36"/>
      <c r="E18" s="36"/>
    </row>
    <row r="19" spans="1:5" ht="27" customHeight="1" ns3:dyDescent="0.3">
      <c r="A19" s="9" t="s">
        <v>20</v>
      </c>
      <c r="B19" s="35" t="s">
        <v>21</v>
      </c>
      <c r="C19" s="36"/>
      <c r="D19" s="36"/>
      <c r="E19" s="36"/>
    </row>
    <row r="20" spans="1:5" ht="40.5" customHeight="1" ns3:dyDescent="0.3">
      <c r="A20" s="9" t="s">
        <v>22</v>
      </c>
      <c r="B20" s="35" t="s">
        <v>23</v>
      </c>
      <c r="C20" s="36"/>
      <c r="D20" s="36"/>
      <c r="E20" s="36"/>
    </row>
    <row r="21" spans="1:5" ht="27" customHeight="1" ns3:dyDescent="0.3">
      <c r="A21" s="9" t="s">
        <v>24</v>
      </c>
      <c r="B21" s="35" t="s">
        <v>25</v>
      </c>
      <c r="C21" s="36"/>
      <c r="D21" s="36"/>
      <c r="E21" s="36"/>
    </row>
    <row r="22" spans="1:5" ht="27" customHeight="1" ns3:dyDescent="0.3">
      <c r="A22" s="9" t="s">
        <v>26</v>
      </c>
      <c r="B22" s="35" t="s">
        <v>27</v>
      </c>
      <c r="C22" s="36"/>
      <c r="D22" s="36"/>
      <c r="E22" s="36"/>
    </row>
    <row r="23" spans="1:5" ht="27" customHeight="1" ns3:dyDescent="0.3">
      <c r="A23" s="9" t="s">
        <v>28</v>
      </c>
      <c r="B23" s="35" t="s">
        <v>29</v>
      </c>
      <c r="C23" s="36"/>
      <c r="D23" s="36"/>
      <c r="E23" s="36"/>
    </row>
    <row r="24" spans="1:5" ht="27" customHeight="1" ns3:dyDescent="0.3">
      <c r="A24" s="9" t="s">
        <v>30</v>
      </c>
      <c r="B24" s="35" t="s">
        <v>31</v>
      </c>
      <c r="C24" s="36"/>
      <c r="D24" s="36"/>
      <c r="E24" s="36"/>
    </row>
  </sheetData>
  <mergeCells count="13">
    <mergeCell ref="B4:C4"/>
    <mergeCell ref="B22:E22"/>
    <mergeCell ref="B5:C5"/>
    <mergeCell ref="B21:E21"/>
    <mergeCell ref="B24:E24"/>
    <mergeCell ref="B19:E19"/>
    <mergeCell ref="B20:E20"/>
    <mergeCell ref="B8:C8"/>
    <mergeCell ref="B6:C6"/>
    <mergeCell ref="B17:E17"/>
    <mergeCell ref="B18:E18"/>
    <mergeCell ref="B23:E23"/>
    <mergeCell ref="B7:C7"/>
  </mergeCells>
  <printOptions horizontalCentered="1"/>
  <pageMargins left="0.75" right="0.75" top="1" bottom="1" header="0.5" footer="0.5"/>
  <pageSetup paperSize="9" fitToHeight="0" orientation="portrait"/>
  <headerFooter>
    <oddFooter>&amp;LYAM415 Game Programming&amp;RPage &amp;P of &amp;N</oddFooter>
  </headerFooter>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00000000-0001-0000-0100-000000000000}">
  <sheetPr>
    <pageSetUpPr fitToPage="1"/>
  </sheetPr>
  <dimension ref="A1:Y35"/>
  <sheetViews>
    <sheetView showGridLines="0" workbookViewId="0">
      <pane xSplit="2" ySplit="5" topLeftCell="C6" activePane="bottomRight" state="frozen"/>
      <selection pane="topRight"/>
      <selection pane="bottomLeft"/>
      <selection pane="bottomRight"/>
    </sheetView>
  </sheetViews>
  <sheetFormatPr defaultRowHeight="14.4" ns3:dyDescent="0.3"/>
  <cols>
    <col min="1" max="1" width="7" customWidth="1"/>
    <col min="2" max="2" width="50" customWidth="1"/>
    <col min="3" max="3" width="18" customWidth="1"/>
    <col min="4" max="5" width="6.44140625" customWidth="1"/>
    <col min="6" max="10" width="10" customWidth="1"/>
    <col min="11" max="11" width="11" customWidth="1"/>
    <col min="12" max="25" width="3.33203125" customWidth="1"/>
  </cols>
  <sheetData>
    <row r="1" spans="1:25" ht="17.399999999999999" ns3:dyDescent="0.35">
      <c r="A1" s="10" t="str">
        <f>"YAM415 Game Programming – Project Plan · Group: "&amp;IF(Info!B4="","G__",Info!B4)&amp;IF(Info!B6="",""," · "&amp;Info!B6)</f>
        <v>YAM415 Game Programming – Project Plan · Group: G__</v>
      </c>
    </row>
    <row r="2" spans="1:25" ns3:dyDescent="0.3">
      <c r="A2" s="2" t="s">
        <v>32</v>
      </c>
    </row>
    <row r="4" spans="1:25" ht="18" customHeight="1" ns3:dyDescent="0.3">
      <c r="A4" s="37" t="s">
        <v>33</v>
      </c>
      <c r="B4" s="37" t="s">
        <v>34</v>
      </c>
      <c r="C4" s="37" t="s">
        <v>35</v>
      </c>
      <c r="D4" s="37" t="s">
        <v>36</v>
      </c>
      <c r="E4" s="37"/>
      <c r="F4" s="37" t="s">
        <v>37</v>
      </c>
      <c r="G4" s="37"/>
      <c r="H4" s="37"/>
      <c r="I4" s="37"/>
      <c r="J4" s="37" t="s">
        <v>38</v>
      </c>
      <c r="K4" s="37" t="s">
        <v>39</v>
      </c>
      <c r="L4" s="37" t="s">
        <v>40</v>
      </c>
      <c r="M4" s="37"/>
      <c r="N4" s="37"/>
      <c r="O4" s="37"/>
      <c r="P4" s="37"/>
      <c r="Q4" s="37"/>
      <c r="R4" s="37"/>
      <c r="S4" s="37"/>
      <c r="T4" s="37"/>
      <c r="U4" s="37"/>
      <c r="V4" s="37"/>
      <c r="W4" s="37"/>
      <c r="X4" s="37"/>
      <c r="Y4" s="37"/>
    </row>
    <row r="5" spans="1:25" ht="30" customHeight="1" ns3:dyDescent="0.3">
      <c r="A5" s="37"/>
      <c r="B5" s="37"/>
      <c r="C5" s="37"/>
      <c r="D5" s="11" t="s">
        <v>41</v>
      </c>
      <c r="E5" s="11" t="s">
        <v>42</v>
      </c>
      <c r="F5" s="11" t="str">
        <f>IF(Info!B11="","Member 1",Info!B11)</f>
        <v>Member 1</v>
      </c>
      <c r="G5" s="11" t="str">
        <f>IF(Info!B12="","Member 2",Info!B12)</f>
        <v>Member 2</v>
      </c>
      <c r="H5" s="11" t="str">
        <f>IF(Info!B13="","Member 3",Info!B13)</f>
        <v>Member 3</v>
      </c>
      <c r="I5" s="11" t="str">
        <f>IF(Info!B14="","Member 4",Info!B14)</f>
        <v>Member 4</v>
      </c>
      <c r="J5" s="37"/>
      <c r="K5" s="37"/>
      <c r="L5" s="12">
        <v>1</v>
      </c>
      <c r="M5" s="12">
        <v>2</v>
      </c>
      <c r="N5" s="12">
        <v>3</v>
      </c>
      <c r="O5" s="12">
        <v>4</v>
      </c>
      <c r="P5" s="12">
        <v>5</v>
      </c>
      <c r="Q5" s="12">
        <v>6</v>
      </c>
      <c r="R5" s="12">
        <v>7</v>
      </c>
      <c r="S5" s="13">
        <v>8</v>
      </c>
      <c r="T5" s="11">
        <v>9</v>
      </c>
      <c r="U5" s="11">
        <v>10</v>
      </c>
      <c r="V5" s="11">
        <v>11</v>
      </c>
      <c r="W5" s="11">
        <v>12</v>
      </c>
      <c r="X5" s="11">
        <v>13</v>
      </c>
      <c r="Y5" s="11">
        <v>14</v>
      </c>
    </row>
    <row r="6" spans="1:25" ht="16.95" customHeight="1" ns3:dyDescent="0.3">
      <c r="A6" s="14" t="s">
        <v>43</v>
      </c>
      <c r="B6" s="15" t="s">
        <v>44</v>
      </c>
      <c r="C6" s="15"/>
      <c r="D6" s="14" t="str">
        <f>IF(COUNT(D7:D9)=0,"",MIN(D7:D9))</f>
        <v/>
      </c>
      <c r="E6" s="14" t="str">
        <f>IF(COUNT(E7:E9)=0,"",MAX(E7:E9))</f>
        <v/>
      </c>
      <c r="F6" s="16">
        <f>SUM(F7:F9)</f>
        <v>0</v>
      </c>
      <c r="G6" s="16">
        <f>SUM(G7:G9)</f>
        <v>0</v>
      </c>
      <c r="H6" s="16">
        <f>SUM(H7:H9)</f>
        <v>0</v>
      </c>
      <c r="I6" s="16">
        <f>SUM(I7:I9)</f>
        <v>0</v>
      </c>
      <c r="J6" s="16">
        <f>SUM(F6:I6)</f>
        <v>0</v>
      </c>
      <c r="K6" s="16">
        <f>J6</f>
        <v>0</v>
      </c>
      <c r="L6" s="17"/>
      <c r="M6" s="17"/>
      <c r="N6" s="17"/>
      <c r="O6" s="17"/>
      <c r="P6" s="17"/>
      <c r="Q6" s="17"/>
      <c r="R6" s="17"/>
      <c r="S6" s="18"/>
      <c r="T6" s="19"/>
      <c r="U6" s="19"/>
      <c r="V6" s="19"/>
      <c r="W6" s="19"/>
      <c r="X6" s="19"/>
      <c r="Y6" s="19"/>
    </row>
    <row r="7" spans="1:25" ht="16.95" customHeight="1" ns3:dyDescent="0.3">
      <c r="A7" s="6" t="s">
        <v>45</v>
      </c>
      <c r="B7" s="20" t="s">
        <v>46</v>
      </c>
      <c r="C7" s="20" t="s">
        <v>108</v>
      </c>
      <c r="D7" s="6">
        <v>1</v>
      </c>
      <c r="E7" s="6">
        <v>8</v>
      </c>
      <c r="F7" s="21">
        <v>0.075</v>
      </c>
      <c r="G7" s="21">
        <v>0.075</v>
      </c>
      <c r="H7" s="21">
        <v>0.075</v>
      </c>
      <c r="I7" s="21">
        <v>0.000</v>
      </c>
      <c r="J7" s="22" t="str">
        <f>IF(COUNT(F7:I7)=0,"",SUM(F7:I7))</f>
        <v/>
      </c>
      <c r="K7" s="22"/>
      <c r="L7" s="17"/>
      <c r="M7" s="17"/>
      <c r="N7" s="17"/>
      <c r="O7" s="17"/>
      <c r="P7" s="17"/>
      <c r="Q7" s="17"/>
      <c r="R7" s="17"/>
      <c r="S7" s="18"/>
      <c r="T7" s="19"/>
      <c r="U7" s="19"/>
      <c r="V7" s="19"/>
      <c r="W7" s="19"/>
      <c r="X7" s="19"/>
      <c r="Y7" s="19"/>
    </row>
    <row r="8" spans="1:25" ht="16.95" customHeight="1" ns3:dyDescent="0.3">
      <c r="A8" s="6" t="s">
        <v>47</v>
      </c>
      <c r="B8" s="20" t="s">
        <v>48</v>
      </c>
      <c r="C8" s="20" t="s">
        <v>108</v>
      </c>
      <c r="D8" s="6">
        <v>4</v>
      </c>
      <c r="E8" s="6">
        <v>8</v>
      </c>
      <c r="F8" s="21">
        <v>0.050</v>
      </c>
      <c r="G8" s="21">
        <v>0.050</v>
      </c>
      <c r="H8" s="21">
        <v>0.050</v>
      </c>
      <c r="I8" s="21">
        <v>0.000</v>
      </c>
      <c r="J8" s="22" t="str">
        <f>IF(COUNT(F8:I8)=0,"",SUM(F8:I8))</f>
        <v/>
      </c>
      <c r="K8" s="22"/>
      <c r="L8" s="17"/>
      <c r="M8" s="17"/>
      <c r="N8" s="17"/>
      <c r="O8" s="17"/>
      <c r="P8" s="17"/>
      <c r="Q8" s="17"/>
      <c r="R8" s="17"/>
      <c r="S8" s="18"/>
      <c r="T8" s="19"/>
      <c r="U8" s="19"/>
      <c r="V8" s="19"/>
      <c r="W8" s="19"/>
      <c r="X8" s="19"/>
      <c r="Y8" s="19"/>
    </row>
    <row r="9" spans="1:25" ht="16.95" customHeight="1" ns3:dyDescent="0.3">
      <c r="A9" s="6" t="s">
        <v>49</v>
      </c>
      <c r="B9" s="20" t="s">
        <v>50</v>
      </c>
      <c r="C9" s="20" t="s">
        <v>108</v>
      </c>
      <c r="D9" s="6">
        <v>1</v>
      </c>
      <c r="E9" s="6">
        <v>14</v>
      </c>
      <c r="F9" s="21">
        <v>0.050</v>
      </c>
      <c r="G9" s="21">
        <v>0.050</v>
      </c>
      <c r="H9" s="21">
        <v>0.050</v>
      </c>
      <c r="I9" s="21">
        <v>0.000</v>
      </c>
      <c r="J9" s="22" t="str">
        <f>IF(COUNT(F9:I9)=0,"",SUM(F9:I9))</f>
        <v/>
      </c>
      <c r="K9" s="22"/>
      <c r="L9" s="17"/>
      <c r="M9" s="17"/>
      <c r="N9" s="17"/>
      <c r="O9" s="17"/>
      <c r="P9" s="17"/>
      <c r="Q9" s="17"/>
      <c r="R9" s="17"/>
      <c r="S9" s="18"/>
      <c r="T9" s="19"/>
      <c r="U9" s="19"/>
      <c r="V9" s="19"/>
      <c r="W9" s="19"/>
      <c r="X9" s="19"/>
      <c r="Y9" s="19"/>
    </row>
    <row r="10" spans="1:25" ht="16.95" customHeight="1" ns3:dyDescent="0.3">
      <c r="A10" s="14" t="s">
        <v>51</v>
      </c>
      <c r="B10" s="15" t="s">
        <v>52</v>
      </c>
      <c r="C10" s="15"/>
      <c r="D10" s="14" t="str">
        <f>IF(COUNT(D11:D13)=0,"",MIN(D11:D13))</f>
        <v/>
      </c>
      <c r="E10" s="14" t="str">
        <f>IF(COUNT(E11:E13)=0,"",MAX(E11:E13))</f>
        <v/>
      </c>
      <c r="F10" s="16">
        <f>SUM(F11:F13)</f>
        <v>0</v>
      </c>
      <c r="G10" s="16">
        <f>SUM(G11:G13)</f>
        <v>0</v>
      </c>
      <c r="H10" s="16">
        <f>SUM(H11:H13)</f>
        <v>0</v>
      </c>
      <c r="I10" s="16">
        <f>SUM(I11:I13)</f>
        <v>0</v>
      </c>
      <c r="J10" s="16">
        <f>SUM(F10:I10)</f>
        <v>0</v>
      </c>
      <c r="K10" s="16">
        <f>K6+J10</f>
        <v>0</v>
      </c>
      <c r="L10" s="17"/>
      <c r="M10" s="17"/>
      <c r="N10" s="17"/>
      <c r="O10" s="17"/>
      <c r="P10" s="17"/>
      <c r="Q10" s="17"/>
      <c r="R10" s="17"/>
      <c r="S10" s="18"/>
      <c r="T10" s="19"/>
      <c r="U10" s="19"/>
      <c r="V10" s="19"/>
      <c r="W10" s="19"/>
      <c r="X10" s="19"/>
      <c r="Y10" s="19"/>
    </row>
    <row r="11" spans="1:25" ht="16.95" customHeight="1" ns3:dyDescent="0.3">
      <c r="A11" s="6" t="s">
        <v>53</v>
      </c>
      <c r="B11" s="20" t="s">
        <v>54</v>
      </c>
      <c r="C11" s="20" t="s">
        <v>109</v>
      </c>
      <c r="D11" s="6">
        <v>5</v>
      </c>
      <c r="E11" s="6">
        <v>11</v>
      </c>
      <c r="F11" s="21">
        <v>0.000</v>
      </c>
      <c r="G11" s="21">
        <v>0.125</v>
      </c>
      <c r="H11" s="21">
        <v>0.000</v>
      </c>
      <c r="I11" s="21">
        <v>0.000</v>
      </c>
      <c r="J11" s="22" t="str">
        <f>IF(COUNT(F11:I11)=0,"",SUM(F11:I11))</f>
        <v/>
      </c>
      <c r="K11" s="22"/>
      <c r="L11" s="17"/>
      <c r="M11" s="17"/>
      <c r="N11" s="17"/>
      <c r="O11" s="17"/>
      <c r="P11" s="17"/>
      <c r="Q11" s="17"/>
      <c r="R11" s="17"/>
      <c r="S11" s="18"/>
      <c r="T11" s="19"/>
      <c r="U11" s="19"/>
      <c r="V11" s="19"/>
      <c r="W11" s="19"/>
      <c r="X11" s="19"/>
      <c r="Y11" s="19"/>
    </row>
    <row r="12" spans="1:25" ht="16.95" customHeight="1" ns3:dyDescent="0.3">
      <c r="A12" s="6" t="s">
        <v>55</v>
      </c>
      <c r="B12" s="20" t="s">
        <v>56</v>
      </c>
      <c r="C12" s="20" t="s">
        <v>110</v>
      </c>
      <c r="D12" s="6">
        <v>7</v>
      </c>
      <c r="E12" s="6">
        <v>12</v>
      </c>
      <c r="F12" s="21">
        <v>0.000</v>
      </c>
      <c r="G12" s="21">
        <v>0.000</v>
      </c>
      <c r="H12" s="21">
        <v>0.125</v>
      </c>
      <c r="I12" s="21">
        <v>0.000</v>
      </c>
      <c r="J12" s="22" t="str">
        <f>IF(COUNT(F12:I12)=0,"",SUM(F12:I12))</f>
        <v/>
      </c>
      <c r="K12" s="22"/>
      <c r="L12" s="17"/>
      <c r="M12" s="17"/>
      <c r="N12" s="17"/>
      <c r="O12" s="17"/>
      <c r="P12" s="17"/>
      <c r="Q12" s="17"/>
      <c r="R12" s="17"/>
      <c r="S12" s="18"/>
      <c r="T12" s="19"/>
      <c r="U12" s="19"/>
      <c r="V12" s="19"/>
      <c r="W12" s="19"/>
      <c r="X12" s="19"/>
      <c r="Y12" s="19"/>
    </row>
    <row r="13" spans="1:25" ht="16.95" customHeight="1" ns3:dyDescent="0.3">
      <c r="A13" s="6" t="s">
        <v>57</v>
      </c>
      <c r="B13" s="20" t="s">
        <v>58</v>
      </c>
      <c r="C13" s="20" t="s">
        <v>109</v>
      </c>
      <c r="D13" s="6">
        <v>6</v>
      </c>
      <c r="E13" s="6">
        <v>11</v>
      </c>
      <c r="F13" s="21">
        <v>0.000</v>
      </c>
      <c r="G13" s="21">
        <v>0.100</v>
      </c>
      <c r="H13" s="21">
        <v>0.000</v>
      </c>
      <c r="I13" s="21">
        <v>0.000</v>
      </c>
      <c r="J13" s="22" t="str">
        <f>IF(COUNT(F13:I13)=0,"",SUM(F13:I13))</f>
        <v/>
      </c>
      <c r="K13" s="22"/>
      <c r="L13" s="17"/>
      <c r="M13" s="17"/>
      <c r="N13" s="17"/>
      <c r="O13" s="17"/>
      <c r="P13" s="17"/>
      <c r="Q13" s="17"/>
      <c r="R13" s="17"/>
      <c r="S13" s="18"/>
      <c r="T13" s="19"/>
      <c r="U13" s="19"/>
      <c r="V13" s="19"/>
      <c r="W13" s="19"/>
      <c r="X13" s="19"/>
      <c r="Y13" s="19"/>
    </row>
    <row r="14" spans="1:25" ht="16.95" customHeight="1" ns3:dyDescent="0.3">
      <c r="A14" s="14" t="s">
        <v>59</v>
      </c>
      <c r="B14" s="15" t="s">
        <v>60</v>
      </c>
      <c r="C14" s="15"/>
      <c r="D14" s="14" t="str">
        <f>IF(COUNT(D15:D17)=0,"",MIN(D15:D17))</f>
        <v/>
      </c>
      <c r="E14" s="14" t="str">
        <f>IF(COUNT(E15:E17)=0,"",MAX(E15:E17))</f>
        <v/>
      </c>
      <c r="F14" s="16">
        <f>SUM(F15:F17)</f>
        <v>0</v>
      </c>
      <c r="G14" s="16">
        <f>SUM(G15:G17)</f>
        <v>0</v>
      </c>
      <c r="H14" s="16">
        <f>SUM(H15:H17)</f>
        <v>0</v>
      </c>
      <c r="I14" s="16">
        <f>SUM(I15:I17)</f>
        <v>0</v>
      </c>
      <c r="J14" s="16">
        <f>SUM(F14:I14)</f>
        <v>0</v>
      </c>
      <c r="K14" s="16">
        <f>K10+J14</f>
        <v>0</v>
      </c>
      <c r="L14" s="17"/>
      <c r="M14" s="17"/>
      <c r="N14" s="17"/>
      <c r="O14" s="17"/>
      <c r="P14" s="17"/>
      <c r="Q14" s="17"/>
      <c r="R14" s="17"/>
      <c r="S14" s="18"/>
      <c r="T14" s="19"/>
      <c r="U14" s="19"/>
      <c r="V14" s="19"/>
      <c r="W14" s="19"/>
      <c r="X14" s="19"/>
      <c r="Y14" s="19"/>
    </row>
    <row r="15" spans="1:25" ht="16.95" customHeight="1" ns3:dyDescent="0.3">
      <c r="A15" s="6" t="s">
        <v>61</v>
      </c>
      <c r="B15" s="20" t="s">
        <v>62</v>
      </c>
      <c r="C15" s="20" t="s">
        <v>111</v>
      </c>
      <c r="D15" s="6">
        <v>7</v>
      </c>
      <c r="E15" s="6">
        <v>10</v>
      </c>
      <c r="F15" s="21">
        <v>0.125</v>
      </c>
      <c r="G15" s="21">
        <v>0.000</v>
      </c>
      <c r="H15" s="21">
        <v>0.000</v>
      </c>
      <c r="I15" s="21">
        <v>0.000</v>
      </c>
      <c r="J15" s="22" t="str">
        <f>IF(COUNT(F15:I15)=0,"",SUM(F15:I15))</f>
        <v/>
      </c>
      <c r="K15" s="22"/>
      <c r="L15" s="17"/>
      <c r="M15" s="17"/>
      <c r="N15" s="17"/>
      <c r="O15" s="17"/>
      <c r="P15" s="17"/>
      <c r="Q15" s="17"/>
      <c r="R15" s="17"/>
      <c r="S15" s="18"/>
      <c r="T15" s="19"/>
      <c r="U15" s="19"/>
      <c r="V15" s="19"/>
      <c r="W15" s="19"/>
      <c r="X15" s="19"/>
      <c r="Y15" s="19"/>
    </row>
    <row r="16" spans="1:25" ht="16.95" customHeight="1" ns3:dyDescent="0.3">
      <c r="A16" s="6" t="s">
        <v>63</v>
      </c>
      <c r="B16" s="20" t="s">
        <v>64</v>
      </c>
      <c r="C16" s="20" t="s">
        <v>111</v>
      </c>
      <c r="D16" s="6">
        <v>8</v>
      </c>
      <c r="E16" s="6">
        <v>12</v>
      </c>
      <c r="F16" s="21">
        <v>0.200</v>
      </c>
      <c r="G16" s="21">
        <v>0.000</v>
      </c>
      <c r="H16" s="21">
        <v>0.000</v>
      </c>
      <c r="I16" s="21">
        <v>0.000</v>
      </c>
      <c r="J16" s="22" t="str">
        <f>IF(COUNT(F16:I16)=0,"",SUM(F16:I16))</f>
        <v/>
      </c>
      <c r="K16" s="22"/>
      <c r="L16" s="17"/>
      <c r="M16" s="17"/>
      <c r="N16" s="17"/>
      <c r="O16" s="17"/>
      <c r="P16" s="17"/>
      <c r="Q16" s="17"/>
      <c r="R16" s="17"/>
      <c r="S16" s="18"/>
      <c r="T16" s="19"/>
      <c r="U16" s="19"/>
      <c r="V16" s="19"/>
      <c r="W16" s="19"/>
      <c r="X16" s="19"/>
      <c r="Y16" s="19"/>
    </row>
    <row r="17" spans="1:25" ht="16.95" customHeight="1" ns3:dyDescent="0.3">
      <c r="A17" s="6" t="s">
        <v>65</v>
      </c>
      <c r="B17" s="20" t="s">
        <v>66</v>
      </c>
      <c r="C17" s="20" t="s">
        <v>112</v>
      </c>
      <c r="D17" s="6">
        <v>9</v>
      </c>
      <c r="E17" s="6">
        <v>13</v>
      </c>
      <c r="F17" s="21">
        <v>0.075</v>
      </c>
      <c r="G17" s="21">
        <v>0.050</v>
      </c>
      <c r="H17" s="21">
        <v>0.000</v>
      </c>
      <c r="I17" s="21">
        <v>0.000</v>
      </c>
      <c r="J17" s="22" t="str">
        <f>IF(COUNT(F17:I17)=0,"",SUM(F17:I17))</f>
        <v/>
      </c>
      <c r="K17" s="22"/>
      <c r="L17" s="17"/>
      <c r="M17" s="17"/>
      <c r="N17" s="17"/>
      <c r="O17" s="17"/>
      <c r="P17" s="17"/>
      <c r="Q17" s="17"/>
      <c r="R17" s="17"/>
      <c r="S17" s="18"/>
      <c r="T17" s="19"/>
      <c r="U17" s="19"/>
      <c r="V17" s="19"/>
      <c r="W17" s="19"/>
      <c r="X17" s="19"/>
      <c r="Y17" s="19"/>
    </row>
    <row r="18" spans="1:25" ht="16.95" customHeight="1" ns3:dyDescent="0.3">
      <c r="A18" s="14" t="s">
        <v>67</v>
      </c>
      <c r="B18" s="15" t="s">
        <v>68</v>
      </c>
      <c r="C18" s="15"/>
      <c r="D18" s="14" t="str">
        <f>IF(COUNT(D19:D20)=0,"",MIN(D19:D20))</f>
        <v/>
      </c>
      <c r="E18" s="14" t="str">
        <f>IF(COUNT(E19:E20)=0,"",MAX(E19:E20))</f>
        <v/>
      </c>
      <c r="F18" s="16">
        <f>SUM(F19:F20)</f>
        <v>0</v>
      </c>
      <c r="G18" s="16">
        <f>SUM(G19:G20)</f>
        <v>0</v>
      </c>
      <c r="H18" s="16">
        <f>SUM(H19:H20)</f>
        <v>0</v>
      </c>
      <c r="I18" s="16">
        <f>SUM(I19:I20)</f>
        <v>0</v>
      </c>
      <c r="J18" s="16">
        <f>SUM(F18:I18)</f>
        <v>0</v>
      </c>
      <c r="K18" s="16">
        <f>K14+J18</f>
        <v>0</v>
      </c>
      <c r="L18" s="17"/>
      <c r="M18" s="17"/>
      <c r="N18" s="17"/>
      <c r="O18" s="17"/>
      <c r="P18" s="17"/>
      <c r="Q18" s="17"/>
      <c r="R18" s="17"/>
      <c r="S18" s="18"/>
      <c r="T18" s="19"/>
      <c r="U18" s="19"/>
      <c r="V18" s="19"/>
      <c r="W18" s="19"/>
      <c r="X18" s="19"/>
      <c r="Y18" s="19"/>
    </row>
    <row r="19" spans="1:25" ht="16.95" customHeight="1" ns3:dyDescent="0.3">
      <c r="A19" s="6" t="s">
        <v>69</v>
      </c>
      <c r="B19" s="20" t="s">
        <v>70</v>
      </c>
      <c r="C19" s="20" t="s">
        <v>110</v>
      </c>
      <c r="D19" s="6">
        <v>7</v>
      </c>
      <c r="E19" s="6">
        <v>12</v>
      </c>
      <c r="F19" s="21">
        <v>0.000</v>
      </c>
      <c r="G19" s="21">
        <v>0.000</v>
      </c>
      <c r="H19" s="21">
        <v>0.150</v>
      </c>
      <c r="I19" s="21">
        <v>0.000</v>
      </c>
      <c r="J19" s="22" t="str">
        <f>IF(COUNT(F19:I19)=0,"",SUM(F19:I19))</f>
        <v/>
      </c>
      <c r="K19" s="22"/>
      <c r="L19" s="17"/>
      <c r="M19" s="17"/>
      <c r="N19" s="17"/>
      <c r="O19" s="17"/>
      <c r="P19" s="17"/>
      <c r="Q19" s="17"/>
      <c r="R19" s="17"/>
      <c r="S19" s="18"/>
      <c r="T19" s="19"/>
      <c r="U19" s="19"/>
      <c r="V19" s="19"/>
      <c r="W19" s="19"/>
      <c r="X19" s="19"/>
      <c r="Y19" s="19"/>
    </row>
    <row r="20" spans="1:25" ht="16.95" customHeight="1" ns3:dyDescent="0.3">
      <c r="A20" s="6" t="s">
        <v>71</v>
      </c>
      <c r="B20" s="20" t="s">
        <v>72</v>
      </c>
      <c r="C20" s="20" t="s">
        <v>110</v>
      </c>
      <c r="D20" s="6">
        <v>8</v>
      </c>
      <c r="E20" s="6">
        <v>13</v>
      </c>
      <c r="F20" s="21">
        <v>0.000</v>
      </c>
      <c r="G20" s="21">
        <v>0.000</v>
      </c>
      <c r="H20" s="21">
        <v>0.075</v>
      </c>
      <c r="I20" s="21">
        <v>0.000</v>
      </c>
      <c r="J20" s="22" t="str">
        <f>IF(COUNT(F20:I20)=0,"",SUM(F20:I20))</f>
        <v/>
      </c>
      <c r="K20" s="22"/>
      <c r="L20" s="17"/>
      <c r="M20" s="17"/>
      <c r="N20" s="17"/>
      <c r="O20" s="17"/>
      <c r="P20" s="17"/>
      <c r="Q20" s="17"/>
      <c r="R20" s="17"/>
      <c r="S20" s="18"/>
      <c r="T20" s="19"/>
      <c r="U20" s="19"/>
      <c r="V20" s="19"/>
      <c r="W20" s="19"/>
      <c r="X20" s="19"/>
      <c r="Y20" s="19"/>
    </row>
    <row r="21" spans="1:25" ht="16.95" customHeight="1" ns3:dyDescent="0.3">
      <c r="A21" s="14" t="s">
        <v>73</v>
      </c>
      <c r="B21" s="15" t="s">
        <v>74</v>
      </c>
      <c r="C21" s="15"/>
      <c r="D21" s="14" t="str">
        <f>IF(COUNT(D22:D23)=0,"",MIN(D22:D23))</f>
        <v/>
      </c>
      <c r="E21" s="14" t="str">
        <f>IF(COUNT(E22:E23)=0,"",MAX(E22:E23))</f>
        <v/>
      </c>
      <c r="F21" s="16">
        <f>SUM(F22:F23)</f>
        <v>0</v>
      </c>
      <c r="G21" s="16">
        <f>SUM(G22:G23)</f>
        <v>0</v>
      </c>
      <c r="H21" s="16">
        <f>SUM(H22:H23)</f>
        <v>0</v>
      </c>
      <c r="I21" s="16">
        <f>SUM(I22:I23)</f>
        <v>0</v>
      </c>
      <c r="J21" s="16">
        <f>SUM(F21:I21)</f>
        <v>0</v>
      </c>
      <c r="K21" s="16">
        <f>K18+J21</f>
        <v>0</v>
      </c>
      <c r="L21" s="17"/>
      <c r="M21" s="17"/>
      <c r="N21" s="17"/>
      <c r="O21" s="17"/>
      <c r="P21" s="17"/>
      <c r="Q21" s="17"/>
      <c r="R21" s="17"/>
      <c r="S21" s="18"/>
      <c r="T21" s="19"/>
      <c r="U21" s="19"/>
      <c r="V21" s="19"/>
      <c r="W21" s="19"/>
      <c r="X21" s="19"/>
      <c r="Y21" s="19"/>
    </row>
    <row r="22" spans="1:25" ht="16.95" customHeight="1" ns3:dyDescent="0.3">
      <c r="A22" s="6" t="s">
        <v>75</v>
      </c>
      <c r="B22" s="20" t="s">
        <v>76</v>
      </c>
      <c r="C22" s="20" t="s">
        <v>108</v>
      </c>
      <c r="D22" s="6">
        <v>10</v>
      </c>
      <c r="E22" s="6">
        <v>14</v>
      </c>
      <c r="F22" s="21">
        <v>0.050</v>
      </c>
      <c r="G22" s="21">
        <v>0.050</v>
      </c>
      <c r="H22" s="21">
        <v>0.050</v>
      </c>
      <c r="I22" s="21">
        <v>0.000</v>
      </c>
      <c r="J22" s="22" t="str">
        <f>IF(COUNT(F22:I22)=0,"",SUM(F22:I22))</f>
        <v/>
      </c>
      <c r="K22" s="22"/>
      <c r="L22" s="17"/>
      <c r="M22" s="17"/>
      <c r="N22" s="17"/>
      <c r="O22" s="17"/>
      <c r="P22" s="17"/>
      <c r="Q22" s="17"/>
      <c r="R22" s="17"/>
      <c r="S22" s="18"/>
      <c r="T22" s="19"/>
      <c r="U22" s="19"/>
      <c r="V22" s="19"/>
      <c r="W22" s="19"/>
      <c r="X22" s="19"/>
      <c r="Y22" s="19"/>
    </row>
    <row r="23" spans="1:25" ht="16.95" customHeight="1" ns3:dyDescent="0.3">
      <c r="A23" s="6" t="s">
        <v>77</v>
      </c>
      <c r="B23" s="20" t="s">
        <v>78</v>
      </c>
      <c r="C23" s="20" t="s">
        <v>111</v>
      </c>
      <c r="D23" s="6">
        <v>12</v>
      </c>
      <c r="E23" s="6">
        <v>14</v>
      </c>
      <c r="F23" s="21">
        <v>0.075</v>
      </c>
      <c r="G23" s="21">
        <v>0.000</v>
      </c>
      <c r="H23" s="21">
        <v>0.000</v>
      </c>
      <c r="I23" s="21">
        <v>0.000</v>
      </c>
      <c r="J23" s="22" t="str">
        <f>IF(COUNT(F23:I23)=0,"",SUM(F23:I23))</f>
        <v/>
      </c>
      <c r="K23" s="22"/>
      <c r="L23" s="17"/>
      <c r="M23" s="17"/>
      <c r="N23" s="17"/>
      <c r="O23" s="17"/>
      <c r="P23" s="17"/>
      <c r="Q23" s="17"/>
      <c r="R23" s="17"/>
      <c r="S23" s="18"/>
      <c r="T23" s="19"/>
      <c r="U23" s="19"/>
      <c r="V23" s="19"/>
      <c r="W23" s="19"/>
      <c r="X23" s="19"/>
      <c r="Y23" s="19"/>
    </row>
    <row r="24" spans="1:25" ht="16.95" customHeight="1" ns3:dyDescent="0.3">
      <c r="A24" s="14" t="s">
        <v>79</v>
      </c>
      <c r="B24" s="15" t="s">
        <v>80</v>
      </c>
      <c r="C24" s="15"/>
      <c r="D24" s="14" t="str">
        <f>IF(COUNT(D25:D27)=0,"",MIN(D25:D27))</f>
        <v/>
      </c>
      <c r="E24" s="14" t="str">
        <f>IF(COUNT(E25:E27)=0,"",MAX(E25:E27))</f>
        <v/>
      </c>
      <c r="F24" s="16">
        <f>SUM(F25:F27)</f>
        <v>0</v>
      </c>
      <c r="G24" s="16">
        <f>SUM(G25:G27)</f>
        <v>0</v>
      </c>
      <c r="H24" s="16">
        <f>SUM(H25:H27)</f>
        <v>0</v>
      </c>
      <c r="I24" s="16">
        <f>SUM(I25:I27)</f>
        <v>0</v>
      </c>
      <c r="J24" s="16">
        <f>SUM(F24:I24)</f>
        <v>0</v>
      </c>
      <c r="K24" s="16">
        <f>K21+J24</f>
        <v>0</v>
      </c>
      <c r="L24" s="17"/>
      <c r="M24" s="17"/>
      <c r="N24" s="17"/>
      <c r="O24" s="17"/>
      <c r="P24" s="17"/>
      <c r="Q24" s="17"/>
      <c r="R24" s="17"/>
      <c r="S24" s="18"/>
      <c r="T24" s="19"/>
      <c r="U24" s="19"/>
      <c r="V24" s="19"/>
      <c r="W24" s="19"/>
      <c r="X24" s="19"/>
      <c r="Y24" s="19"/>
    </row>
    <row r="25" spans="1:25" ht="16.95" customHeight="1" ns3:dyDescent="0.3">
      <c r="A25" s="6" t="s">
        <v>81</v>
      </c>
      <c r="B25" s="20" t="s">
        <v>82</v>
      </c>
      <c r="C25" s="20" t="s">
        <v>108</v>
      </c>
      <c r="D25" s="6">
        <v>11</v>
      </c>
      <c r="E25" s="6">
        <v>14</v>
      </c>
      <c r="F25" s="21">
        <v>0.050</v>
      </c>
      <c r="G25" s="21">
        <v>0.050</v>
      </c>
      <c r="H25" s="21">
        <v>0.050</v>
      </c>
      <c r="I25" s="21">
        <v>0.000</v>
      </c>
      <c r="J25" s="22" t="str">
        <f>IF(COUNT(F25:I25)=0,"",SUM(F25:I25))</f>
        <v/>
      </c>
      <c r="K25" s="22"/>
      <c r="L25" s="17"/>
      <c r="M25" s="17"/>
      <c r="N25" s="17"/>
      <c r="O25" s="17"/>
      <c r="P25" s="17"/>
      <c r="Q25" s="17"/>
      <c r="R25" s="17"/>
      <c r="S25" s="18"/>
      <c r="T25" s="19"/>
      <c r="U25" s="19"/>
      <c r="V25" s="19"/>
      <c r="W25" s="19"/>
      <c r="X25" s="19"/>
      <c r="Y25" s="19"/>
    </row>
    <row r="26" spans="1:25" ht="16.95" customHeight="1" ns3:dyDescent="0.3">
      <c r="A26" s="6" t="s">
        <v>83</v>
      </c>
      <c r="B26" s="20" t="s">
        <v>84</v>
      </c>
      <c r="C26" s="20" t="s">
        <v>110</v>
      </c>
      <c r="D26" s="6">
        <v>13</v>
      </c>
      <c r="E26" s="6">
        <v>14</v>
      </c>
      <c r="F26" s="21">
        <v>0.000</v>
      </c>
      <c r="G26" s="21">
        <v>0.000</v>
      </c>
      <c r="H26" s="21">
        <v>0.050</v>
      </c>
      <c r="I26" s="21">
        <v>0.000</v>
      </c>
      <c r="J26" s="22" t="str">
        <f>IF(COUNT(F26:I26)=0,"",SUM(F26:I26))</f>
        <v/>
      </c>
      <c r="K26" s="22"/>
      <c r="L26" s="17"/>
      <c r="M26" s="17"/>
      <c r="N26" s="17"/>
      <c r="O26" s="17"/>
      <c r="P26" s="17"/>
      <c r="Q26" s="17"/>
      <c r="R26" s="17"/>
      <c r="S26" s="18"/>
      <c r="T26" s="19"/>
      <c r="U26" s="19"/>
      <c r="V26" s="19"/>
      <c r="W26" s="19"/>
      <c r="X26" s="19"/>
      <c r="Y26" s="19"/>
    </row>
    <row r="27" spans="1:25" ht="16.95" customHeight="1" ns3:dyDescent="0.3">
      <c r="A27" s="6" t="s">
        <v>85</v>
      </c>
      <c r="B27" s="20" t="s">
        <v>86</v>
      </c>
      <c r="C27" s="20" t="s">
        <v>109</v>
      </c>
      <c r="D27" s="6">
        <v>13</v>
      </c>
      <c r="E27" s="6">
        <v>14</v>
      </c>
      <c r="F27" s="21">
        <v>0.000</v>
      </c>
      <c r="G27" s="21">
        <v>0.050</v>
      </c>
      <c r="H27" s="21">
        <v>0.000</v>
      </c>
      <c r="I27" s="21">
        <v>0.000</v>
      </c>
      <c r="J27" s="22" t="str">
        <f>IF(COUNT(F27:I27)=0,"",SUM(F27:I27))</f>
        <v/>
      </c>
      <c r="K27" s="22"/>
      <c r="L27" s="17"/>
      <c r="M27" s="17"/>
      <c r="N27" s="17"/>
      <c r="O27" s="17"/>
      <c r="P27" s="17"/>
      <c r="Q27" s="17"/>
      <c r="R27" s="17"/>
      <c r="S27" s="18"/>
      <c r="T27" s="19"/>
      <c r="U27" s="19"/>
      <c r="V27" s="19"/>
      <c r="W27" s="19"/>
      <c r="X27" s="19"/>
      <c r="Y27" s="19"/>
    </row>
    <row r="28" spans="1:25" ht="16.95" customHeight="1" ns3:dyDescent="0.3">
      <c r="A28" s="23"/>
      <c r="B28" s="24" t="s">
        <v>87</v>
      </c>
      <c r="C28" s="24"/>
      <c r="D28" s="23"/>
      <c r="E28" s="23"/>
      <c r="F28" s="25">
        <f>F6+F10+F14+F18+F21+F24</f>
        <v>0</v>
      </c>
      <c r="G28" s="25">
        <f>G6+G10+G14+G18+G21+G24</f>
        <v>0</v>
      </c>
      <c r="H28" s="25">
        <f>H6+H10+H14+H18+H21+H24</f>
        <v>0</v>
      </c>
      <c r="I28" s="25">
        <f>I6+I10+I14+I18+I21+I24</f>
        <v>0</v>
      </c>
      <c r="J28" s="25">
        <f>SUM(F28:I28)</f>
        <v>0</v>
      </c>
      <c r="K28" s="25"/>
      <c r="L28" s="19"/>
      <c r="M28" s="19"/>
      <c r="N28" s="19"/>
      <c r="O28" s="19"/>
      <c r="P28" s="19"/>
      <c r="Q28" s="19"/>
      <c r="R28" s="19"/>
      <c r="S28" s="19"/>
      <c r="T28" s="19"/>
      <c r="U28" s="19"/>
      <c r="V28" s="19"/>
      <c r="W28" s="19"/>
      <c r="X28" s="19"/>
      <c r="Y28" s="19"/>
    </row>
    <row r="29" spans="1:25" ht="16.95" customHeight="1" ns3:dyDescent="0.3">
      <c r="A29" s="23"/>
      <c r="B29" s="24" t="s">
        <v>88</v>
      </c>
      <c r="C29" s="24"/>
      <c r="D29" s="23"/>
      <c r="E29" s="23"/>
      <c r="F29" s="26" t="str">
        <f>IF($J$28=0,"",F28/$J$28)</f>
        <v/>
      </c>
      <c r="G29" s="26" t="str">
        <f>IF($J$28=0,"",G28/$J$28)</f>
        <v/>
      </c>
      <c r="H29" s="26" t="str">
        <f>IF($J$28=0,"",H28/$J$28)</f>
        <v/>
      </c>
      <c r="I29" s="26" t="str">
        <f>IF($J$28=0,"",I28/$J$28)</f>
        <v/>
      </c>
      <c r="J29" s="23"/>
      <c r="K29" s="23"/>
      <c r="L29" s="19"/>
      <c r="M29" s="19"/>
      <c r="N29" s="19"/>
      <c r="O29" s="19"/>
      <c r="P29" s="19"/>
      <c r="Q29" s="19"/>
      <c r="R29" s="19"/>
      <c r="S29" s="19"/>
      <c r="T29" s="19"/>
      <c r="U29" s="19"/>
      <c r="V29" s="19"/>
      <c r="W29" s="19"/>
      <c r="X29" s="19"/>
      <c r="Y29" s="19"/>
    </row>
    <row r="31" spans="1:25" ns3:dyDescent="0.3">
      <c r="B31" s="27" t="s">
        <v>89</v>
      </c>
    </row>
    <row r="32" spans="1:25" ht="25.95" customHeight="1" ns3:dyDescent="0.3">
      <c r="B32" s="28" t="str">
        <f>IF(Info!B11="","Member 1",Info!B11)</f>
        <v>Member 1</v>
      </c>
      <c r="C32" s="38"/>
      <c r="D32" s="38"/>
      <c r="E32" s="38"/>
      <c r="F32" s="38"/>
      <c r="G32" s="38"/>
      <c r="H32" s="38"/>
      <c r="I32" s="38"/>
    </row>
    <row r="33" spans="2:9" ht="25.95" customHeight="1" ns3:dyDescent="0.3">
      <c r="B33" s="28" t="str">
        <f>IF(Info!B12="","Member 2",Info!B12)</f>
        <v>Member 2</v>
      </c>
      <c r="C33" s="38"/>
      <c r="D33" s="38"/>
      <c r="E33" s="38"/>
      <c r="F33" s="38"/>
      <c r="G33" s="38"/>
      <c r="H33" s="38"/>
      <c r="I33" s="38"/>
    </row>
    <row r="34" spans="2:9" ht="25.95" customHeight="1" ns3:dyDescent="0.3">
      <c r="B34" s="28" t="str">
        <f>IF(Info!B13="","Member 3",Info!B13)</f>
        <v>Member 3</v>
      </c>
      <c r="C34" s="38"/>
      <c r="D34" s="38"/>
      <c r="E34" s="38"/>
      <c r="F34" s="38"/>
      <c r="G34" s="38"/>
      <c r="H34" s="38"/>
      <c r="I34" s="38"/>
    </row>
    <row r="35" spans="2:9" ht="25.95" customHeight="1" ns3:dyDescent="0.3">
      <c r="B35" s="28" t="str">
        <f>IF(Info!B14="","Member 4",Info!B14)</f>
        <v>Member 4</v>
      </c>
      <c r="C35" s="38"/>
      <c r="D35" s="38"/>
      <c r="E35" s="38"/>
      <c r="F35" s="38"/>
      <c r="G35" s="38"/>
      <c r="H35" s="38"/>
      <c r="I35" s="38"/>
    </row>
  </sheetData>
  <mergeCells count="12">
    <mergeCell ref="C35:I35"/>
    <mergeCell ref="L4:Y4"/>
    <mergeCell ref="K4:K5"/>
    <mergeCell ref="C34:I34"/>
    <mergeCell ref="D4:E4"/>
    <mergeCell ref="C32:I32"/>
    <mergeCell ref="C33:I33"/>
    <mergeCell ref="B4:B5"/>
    <mergeCell ref="C4:C5"/>
    <mergeCell ref="A4:A5"/>
    <mergeCell ref="F4:I4"/>
    <mergeCell ref="J4:J5"/>
  </mergeCells>
  <conditionalFormatting sqref="E6:E27">
    <cfRule type="expression" dxfId="2" priority="3">
      <formula>AND(ISNUMBER($D6),ISNUMBER($E6),$E6&lt;$D6)</formula>
    </cfRule>
  </conditionalFormatting>
  <conditionalFormatting sqref="L6:Y27">
    <cfRule type="expression" dxfId="1" priority="1" stopIfTrue="1">
      <formula>AND(LEFT($A6,2)="WP",AND(ISNUMBER($D6),ISNUMBER($E6),L$5&gt;=$D6,L$5&lt;=$E6))</formula>
    </cfRule>
    <cfRule type="expression" dxfId="0" priority="2">
      <formula>AND(ISNUMBER($D6),ISNUMBER($E6),L$5&gt;=$D6,L$5&lt;=$E6)</formula>
    </cfRule>
  </conditionalFormatting>
  <dataValidations count="2">
    <dataValidation type="whole" allowBlank="1" showErrorMessage="1" errorTitle="Week" error="Enter a whole number between 1 and 14." sqref="D7:E7 D8:E8 D9:E9 D11:E11 D12:E12 D13:E13 D15:E15 D16:E16 D17:E17 D19:E19 D20:E20 D22:E22 D23:E23 D25:E25 D26:E26 D27:E27" ns2:uid="{00000000-0002-0000-0100-000000000000}">
      <formula1>1</formula1>
      <formula2>14</formula2>
    </dataValidation>
    <dataValidation type="decimal" allowBlank="1" showErrorMessage="1" errorTitle="Person-months" error="Enter a value between 0 and 5 (e.g. 0.25)." sqref="F7:I7 F8:I8 F9:I9 F11:I11 F12:I12 F13:I13 F15:I15 F16:I16 F17:I17 F19:I19 F20:I20 F22:I22 F23:I23 F25:I25 F26:I26 F27:I27" ns2:uid="{00000000-0002-0000-0100-000001000000}">
      <formula1>0</formula1>
      <formula2>5</formula2>
    </dataValidation>
  </dataValidations>
  <printOptions horizontalCentered="1"/>
  <pageMargins left="0.4" right="0.4" top="0.5" bottom="0.6" header="0.5" footer="0.5"/>
  <pageSetup paperSize="9" fitToHeight="0" orientation="landscape"/>
  <headerFooter>
    <oddFooter>&amp;LYAM415 Game Programming&amp;RPage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10"/>
  <sheetViews>
    <sheetView showGridLines="0" workbookViewId="0"/>
  </sheetViews>
  <sheetFormatPr defaultRowHeight="14.4" x14ac:dyDescent="0.3"/>
  <cols>
    <col min="1" max="1" width="8" customWidth="1"/>
    <col min="2" max="2" width="36" customWidth="1"/>
    <col min="3" max="8" width="12" customWidth="1"/>
  </cols>
  <sheetData>
    <row r="1" spans="1:8" ht="17.399999999999999" x14ac:dyDescent="0.35">
      <c r="A1" s="10" t="s">
        <v>90</v>
      </c>
    </row>
    <row r="3" spans="1:8" ht="30" customHeight="1" x14ac:dyDescent="0.3">
      <c r="A3" s="29" t="s">
        <v>33</v>
      </c>
      <c r="B3" s="29" t="s">
        <v>91</v>
      </c>
      <c r="C3" s="29" t="str">
        <f>Plan!F5</f>
        <v>Member 1</v>
      </c>
      <c r="D3" s="29" t="str">
        <f>Plan!G5</f>
        <v>Member 2</v>
      </c>
      <c r="E3" s="29" t="str">
        <f>Plan!H5</f>
        <v>Member 3</v>
      </c>
      <c r="F3" s="29" t="str">
        <f>Plan!I5</f>
        <v>Member 4</v>
      </c>
      <c r="G3" s="29" t="s">
        <v>92</v>
      </c>
      <c r="H3" s="29" t="s">
        <v>93</v>
      </c>
    </row>
    <row r="4" spans="1:8" x14ac:dyDescent="0.3">
      <c r="A4" s="30" t="str">
        <f>Plan!A6</f>
        <v>WP1</v>
      </c>
      <c r="B4" s="30" t="str">
        <f>Plan!B6</f>
        <v>Project Management and Planning</v>
      </c>
      <c r="C4" s="31">
        <f>Plan!F6</f>
        <v>0</v>
      </c>
      <c r="D4" s="31">
        <f>Plan!G6</f>
        <v>0</v>
      </c>
      <c r="E4" s="31">
        <f>Plan!H6</f>
        <v>0</v>
      </c>
      <c r="F4" s="31">
        <f>Plan!I6</f>
        <v>0</v>
      </c>
      <c r="G4" s="31">
        <f>Plan!J6</f>
        <v>0</v>
      </c>
      <c r="H4" s="31">
        <f>Plan!K6</f>
        <v>0</v>
      </c>
    </row>
    <row r="5" spans="1:8" x14ac:dyDescent="0.3">
      <c r="A5" s="30" t="str">
        <f>Plan!A10</f>
        <v>WP2</v>
      </c>
      <c r="B5" s="30" t="str">
        <f>Plan!B10</f>
        <v>Game Design</v>
      </c>
      <c r="C5" s="31">
        <f>Plan!F10</f>
        <v>0</v>
      </c>
      <c r="D5" s="31">
        <f>Plan!G10</f>
        <v>0</v>
      </c>
      <c r="E5" s="31">
        <f>Plan!H10</f>
        <v>0</v>
      </c>
      <c r="F5" s="31">
        <f>Plan!I10</f>
        <v>0</v>
      </c>
      <c r="G5" s="31">
        <f>Plan!J10</f>
        <v>0</v>
      </c>
      <c r="H5" s="31">
        <f>Plan!K10</f>
        <v>0</v>
      </c>
    </row>
    <row r="6" spans="1:8" x14ac:dyDescent="0.3">
      <c r="A6" s="30" t="str">
        <f>Plan!A14</f>
        <v>WP3</v>
      </c>
      <c r="B6" s="30" t="str">
        <f>Plan!B14</f>
        <v>Programming</v>
      </c>
      <c r="C6" s="31">
        <f>Plan!F14</f>
        <v>0</v>
      </c>
      <c r="D6" s="31">
        <f>Plan!G14</f>
        <v>0</v>
      </c>
      <c r="E6" s="31">
        <f>Plan!H14</f>
        <v>0</v>
      </c>
      <c r="F6" s="31">
        <f>Plan!I14</f>
        <v>0</v>
      </c>
      <c r="G6" s="31">
        <f>Plan!J14</f>
        <v>0</v>
      </c>
      <c r="H6" s="31">
        <f>Plan!K14</f>
        <v>0</v>
      </c>
    </row>
    <row r="7" spans="1:8" x14ac:dyDescent="0.3">
      <c r="A7" s="30" t="str">
        <f>Plan!A18</f>
        <v>WP4</v>
      </c>
      <c r="B7" s="30" t="str">
        <f>Plan!B18</f>
        <v>Visual and Audio Content</v>
      </c>
      <c r="C7" s="31">
        <f>Plan!F18</f>
        <v>0</v>
      </c>
      <c r="D7" s="31">
        <f>Plan!G18</f>
        <v>0</v>
      </c>
      <c r="E7" s="31">
        <f>Plan!H18</f>
        <v>0</v>
      </c>
      <c r="F7" s="31">
        <f>Plan!I18</f>
        <v>0</v>
      </c>
      <c r="G7" s="31">
        <f>Plan!J18</f>
        <v>0</v>
      </c>
      <c r="H7" s="31">
        <f>Plan!K18</f>
        <v>0</v>
      </c>
    </row>
    <row r="8" spans="1:8" x14ac:dyDescent="0.3">
      <c r="A8" s="30" t="str">
        <f>Plan!A21</f>
        <v>WP5</v>
      </c>
      <c r="B8" s="30" t="str">
        <f>Plan!B21</f>
        <v>Testing and Build</v>
      </c>
      <c r="C8" s="31">
        <f>Plan!F21</f>
        <v>0</v>
      </c>
      <c r="D8" s="31">
        <f>Plan!G21</f>
        <v>0</v>
      </c>
      <c r="E8" s="31">
        <f>Plan!H21</f>
        <v>0</v>
      </c>
      <c r="F8" s="31">
        <f>Plan!I21</f>
        <v>0</v>
      </c>
      <c r="G8" s="31">
        <f>Plan!J21</f>
        <v>0</v>
      </c>
      <c r="H8" s="31">
        <f>Plan!K21</f>
        <v>0</v>
      </c>
    </row>
    <row r="9" spans="1:8" x14ac:dyDescent="0.3">
      <c r="A9" s="30" t="str">
        <f>Plan!A24</f>
        <v>WP6</v>
      </c>
      <c r="B9" s="30" t="str">
        <f>Plan!B24</f>
        <v>Documentation and Promotion</v>
      </c>
      <c r="C9" s="31">
        <f>Plan!F24</f>
        <v>0</v>
      </c>
      <c r="D9" s="31">
        <f>Plan!G24</f>
        <v>0</v>
      </c>
      <c r="E9" s="31">
        <f>Plan!H24</f>
        <v>0</v>
      </c>
      <c r="F9" s="31">
        <f>Plan!I24</f>
        <v>0</v>
      </c>
      <c r="G9" s="31">
        <f>Plan!J24</f>
        <v>0</v>
      </c>
      <c r="H9" s="31">
        <f>Plan!K24</f>
        <v>0</v>
      </c>
    </row>
    <row r="10" spans="1:8" x14ac:dyDescent="0.3">
      <c r="A10" s="32"/>
      <c r="B10" s="32" t="s">
        <v>87</v>
      </c>
      <c r="C10" s="33">
        <f>SUM(C4:C9)</f>
        <v>0</v>
      </c>
      <c r="D10" s="33">
        <f>SUM(D4:D9)</f>
        <v>0</v>
      </c>
      <c r="E10" s="33">
        <f>SUM(E4:E9)</f>
        <v>0</v>
      </c>
      <c r="F10" s="33">
        <f>SUM(F4:F9)</f>
        <v>0</v>
      </c>
      <c r="G10" s="33">
        <f>SUM(G4:G9)</f>
        <v>0</v>
      </c>
      <c r="H10" s="33"/>
    </row>
  </sheetData>
  <printOptions horizontalCentered="1"/>
  <pageMargins left="0.75" right="0.75" top="1" bottom="1" header="0.5" footer="0.5"/>
  <pageSetup paperSize="9" orientation="landscape"/>
  <headerFooter>
    <oddFooter>&amp;LYAM415 Game Programming&amp;RPage &amp;P of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3</vt:i4>
      </vt:variant>
      <vt:variant>
        <vt:lpstr>Adlandırılmış Aralıklar</vt:lpstr>
      </vt:variant>
      <vt:variant>
        <vt:i4>2</vt:i4>
      </vt:variant>
    </vt:vector>
  </HeadingPairs>
  <TitlesOfParts>
    <vt:vector size="5" baseType="lpstr">
      <vt:lpstr>Info</vt:lpstr>
      <vt:lpstr>Plan</vt:lpstr>
      <vt:lpstr>Summary</vt:lpstr>
      <vt:lpstr>Plan!Yazdırma_Alanı</vt:lpstr>
      <vt:lpstr>Plan!Yazdırma_Başlıkları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YAM415 Game Programming – Project Plan Template</dc:title>
  <dc:creator>Abdullah Sönmez</dc:creator>
  <cp:lastModifiedBy>Abdullah Sonmez</cp:lastModifiedBy>
  <dcterms:created xsi:type="dcterms:W3CDTF">2026-10-26T11:58:15Z</dcterms:created>
  <dcterms:modified xsi:type="dcterms:W3CDTF">2026-10-26T11:58:25Z</dcterms:modified>
</cp:coreProperties>
</file>